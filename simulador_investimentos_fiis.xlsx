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cb7bf74fd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671d0b5f905c4247"/>
    <x:sheet xmlns:r="http://schemas.openxmlformats.org/officeDocument/2006/relationships" name="Apoio" sheetId="2" r:id="Re4a184de8d584730"/>
    <x:sheet xmlns:r="http://schemas.openxmlformats.org/officeDocument/2006/relationships" name="Leia-me" sheetId="3" r:id="Rbf2bcccb8afb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R$ #,##0.00;[Red](R$ #,##0.00);-"/>
    <x:numFmt numFmtId="202" formatCode="0.0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4" fillId="4" borderId="0" xfId="0" applyNumberFormat="1" applyFont="1" applyFill="1" applyBorder="1"/>
    <x:xf numFmtId="201" fontId="0" fillId="5" borderId="0" xfId="0" applyNumberFormat="1" applyFont="1" applyFill="1" applyBorder="1"/>
    <x:xf numFmtId="201" fontId="4" fillId="4" borderId="1" xfId="0" applyNumberFormat="1" applyFont="1" applyFill="1" applyBorder="1"/>
    <x:xf numFmtId="201" fontId="0" fillId="5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top"/>
    </x:xf>
    <x:xf numFmtId="0" fontId="5" fillId="6" borderId="1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c4a8c8d704963" /><Relationship Type="http://schemas.openxmlformats.org/officeDocument/2006/relationships/theme" Target="/xl/theme/theme1.xml" Id="R067f7a5c7e7340f6" /><Relationship Type="http://schemas.openxmlformats.org/officeDocument/2006/relationships/sharedStrings" Target="/xl/sharedStrings.xml" Id="R75584bfc103b4c10" /><Relationship Type="http://schemas.openxmlformats.org/officeDocument/2006/relationships/worksheet" Target="/xl/worksheets/sheet1.xml" Id="R671d0b5f905c4247" /><Relationship Type="http://schemas.openxmlformats.org/officeDocument/2006/relationships/worksheet" Target="/xl/worksheets/sheet2.xml" Id="Re4a184de8d584730" /><Relationship Type="http://schemas.openxmlformats.org/officeDocument/2006/relationships/worksheet" Target="/xl/worksheets/sheet3.xml" Id="Rbf2bcccb8afb4b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39df08531d4b92" /><Relationship Type="http://schemas.openxmlformats.org/officeDocument/2006/relationships/chart" Target="/xl/drawings/charts/chart2.xml" Id="R813d7150ccdf47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do aporte por tipo de FII</a:t>
            </a:r>
          </a:p>
        </c:rich>
      </c:tx>
    </c:title>
    <c:plotArea>
      <c:pieChart>
        <c:ser>
          <c:idx val="0"/>
          <c:order val="0"/>
          <c:tx>
            <c:v>Percentual</c:v>
          </c:tx>
          <c:cat>
            <c:strRef>
              <c:f>'Simulador'!$F$18:$F$23</c:f>
              <c:strCache>
                <c:ptCount val="0"/>
              </c:strCache>
            </c:strRef>
          </c:cat>
          <c:val>
            <c:numRef>
              <c:f>'Simulador'!$G$18:$G$23</c:f>
              <c:numCache>
                <c:formatCode>0.0%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Crescimento do patrimônio</a:t>
            </a:r>
          </a:p>
        </c:rich>
      </c:tx>
    </c:title>
    <c:plotArea>
      <c:lineChart>
        <c:grouping val="standard"/>
        <c:ser>
          <c:idx val="0"/>
          <c:order val="0"/>
          <c:tx>
            <c:v>Patrimônio projetado</c:v>
          </c:tx>
          <c:marker>
            <c:symbol val="none"/>
          </c:marker>
          <c:cat>
            <c:strRef>
              <c:f>'Simulador'!$B$18:$B$22</c:f>
              <c:strCache>
                <c:ptCount val="0"/>
              </c:strCache>
            </c:strRef>
          </c:cat>
          <c:val>
            <c:numRef>
              <c:f>'Simulador'!$C$18:$C$22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39df08531d4b9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d7150ccdf47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08fab1897e4bf3" /></Relationships>
</file>

<file path=xl/worksheets/sheet1.xml><?xml version="1.0" encoding="utf-8"?>
<x:worksheet xmlns:x="http://schemas.openxmlformats.org/spreadsheetml/2006/main">
  <x:sheetFormatPr defaultRowHeight="15"/>
  <x:cols>
    <x:col min="2" max="2" width="29" hidden="0" customWidth="1"/>
    <x:col min="3" max="3" width="18" hidden="0" customWidth="1"/>
    <x:col min="4" max="4" width="20" hidden="0" customWidth="1"/>
    <x:col min="5" max="5" width="4" hidden="0" customWidth="1"/>
    <x:col min="6" max="6" width="22" hidden="0" customWidth="1"/>
    <x:col min="7" max="7" width="18" hidden="0" customWidth="1"/>
    <x:col min="8" max="8" width="20" hidden="0" customWidth="1"/>
    <x:col min="9" max="9" width="3" hidden="0" customWidth="1"/>
  </x:cols>
  <x:sheetData>
    <x:row r="2">
      <x:c r="B2" s="12" t="str">
        <x:v>SIMULADOR DE INVESTIMENTOS EM FIIs</x:v>
      </x:c>
      <x:c r="C2" s="12"/>
      <x:c r="D2" s="12"/>
      <x:c r="E2" s="12"/>
      <x:c r="F2" s="12"/>
      <x:c r="G2" s="12"/>
      <x:c r="H2" s="12"/>
    </x:row>
    <x:row r="3">
      <x:c r="B3" s="12"/>
      <x:c r="C3" s="12"/>
      <x:c r="D3" s="12"/>
      <x:c r="E3" s="12"/>
      <x:c r="F3" s="12"/>
      <x:c r="G3" s="12"/>
      <x:c r="H3" s="12"/>
    </x:row>
    <x:row r="5">
      <x:c r="B5" s="18" t="str">
        <x:v>Preencha apenas as células azuis. As células cinzas são calculadas automaticamente.</x:v>
      </x:c>
      <x:c r="C5" s="18"/>
      <x:c r="D5" s="18"/>
      <x:c r="E5" s="18"/>
      <x:c r="F5" s="18"/>
      <x:c r="G5" s="18"/>
      <x:c r="H5" s="18"/>
    </x:row>
    <x:row r="7">
      <x:c r="B7" s="3" t="str">
        <x:v>CONFIGURAÇÕES</x:v>
      </x:c>
      <x:c r="C7" s="3"/>
      <x:c r="D7" s="3"/>
      <x:c r="F7" s="3" t="str">
        <x:v>RESULTADOS PRINCIPAIS</x:v>
      </x:c>
      <x:c r="G7" s="3"/>
      <x:c r="H7" s="3"/>
    </x:row>
    <x:row r="8">
      <x:c r="B8" t="str">
        <x:v>Salário mensal (R$)</x:v>
      </x:c>
      <x:c r="C8" s="28" t="n">
        <x:v>5000</x:v>
      </x:c>
      <x:c r="F8" t="str">
        <x:v>Patrimônio acumulado</x:v>
      </x:c>
      <x:c r="G8" s="36" t="n">
        <x:f>-FV($C$12,$C$11*12,$C$10,0,0)</x:f>
        <x:v>200217.46940991812</x:v>
      </x:c>
    </x:row>
    <x:row r="9">
      <x:c r="B9" t="str">
        <x:v>Sugestão de aporte (30%)</x:v>
      </x:c>
      <x:c r="C9" s="29" t="n">
        <x:f>C8*30%</x:f>
        <x:v>1500</x:v>
      </x:c>
      <x:c r="F9" t="str">
        <x:v>Dividendos mensais estimados</x:v>
      </x:c>
      <x:c r="G9" s="36" t="n">
        <x:f>G8*$C$12</x:f>
        <x:v>1601.739755279345</x:v>
      </x:c>
    </x:row>
    <x:row r="10">
      <x:c r="B10" t="str">
        <x:v>Aporte mensal informado (R$)</x:v>
      </x:c>
      <x:c r="C10" s="28" t="n">
        <x:v>1000</x:v>
      </x:c>
      <x:c r="F10" t="str">
        <x:v>Total aportado</x:v>
      </x:c>
      <x:c r="G10" s="36" t="n">
        <x:f>$C$10*$C$11*12</x:f>
        <x:v>120000</x:v>
      </x:c>
    </x:row>
    <x:row r="11">
      <x:c r="B11" t="str">
        <x:v>Prazo (anos)</x:v>
      </x:c>
      <x:c r="C11" s="23" t="n">
        <x:v>10</x:v>
      </x:c>
    </x:row>
    <x:row r="12">
      <x:c r="B12" t="str">
        <x:v>Taxa de rendimento mensal</x:v>
      </x:c>
      <x:c r="C12" s="32" t="n">
        <x:v>0.008</x:v>
      </x:c>
    </x:row>
    <x:row r="13">
      <x:c r="B13" t="str">
        <x:v>Perfil do investidor</x:v>
      </x:c>
      <x:c r="C13" s="23" t="str">
        <x:v>Moderado</x:v>
      </x:c>
    </x:row>
    <x:row r="16">
      <x:c r="B16" s="3" t="str">
        <x:v>PROJEÇÃO DE CENÁRIOS</x:v>
      </x:c>
      <x:c r="C16" s="3"/>
      <x:c r="D16" s="3"/>
      <x:c r="F16" s="3" t="str">
        <x:v>DIVISÃO DO APORTE POR PERFIL</x:v>
      </x:c>
      <x:c r="G16" s="3"/>
      <x:c r="H16" s="3"/>
    </x:row>
    <x:row r="17">
      <x:c r="B17" s="40" t="str">
        <x:v>Prazo (anos)</x:v>
      </x:c>
      <x:c r="C17" s="40" t="str">
        <x:v>Patrimônio projetado</x:v>
      </x:c>
      <x:c r="D17" s="40" t="str">
        <x:v>Dividendos/mês</x:v>
      </x:c>
      <x:c r="F17" s="40" t="str">
        <x:v>Tipo de FII</x:v>
      </x:c>
      <x:c r="G17" s="40" t="str">
        <x:v>Percentual</x:v>
      </x:c>
      <x:c r="H17" s="40" t="str">
        <x:v>Valor do aporte</x:v>
      </x:c>
    </x:row>
    <x:row r="18">
      <x:c r="B18" t="n">
        <x:v>2</x:v>
      </x:c>
      <x:c r="C18" s="29" t="n">
        <x:f>-FV($C$12,B18*12,$C$10,0,0)</x:f>
        <x:v>26343.155111119562</x:v>
      </x:c>
      <x:c r="D18" s="29" t="n">
        <x:f>C18*$C$12</x:f>
        <x:v>210.7452408889565</x:v>
      </x:c>
      <x:c r="F18" t="str">
        <x:v>Papel</x:v>
      </x:c>
      <x:c r="G18" s="44" t="n">
        <x:f>VLOOKUP($C$13&amp;"|"&amp;F18,Apoio!$A$2:$D$19,4,FALSE)</x:f>
        <x:v>0.2</x:v>
      </x:c>
      <x:c r="H18" s="29" t="n">
        <x:f>$C$10*G18</x:f>
        <x:v>200</x:v>
      </x:c>
    </x:row>
    <x:row r="19">
      <x:c r="B19" t="n">
        <x:v>5</x:v>
      </x:c>
      <x:c r="C19" s="29" t="n">
        <x:f>-FV($C$12,B19*12,$C$10,0,0)</x:f>
        <x:v>76623.86683188022</x:v>
      </x:c>
      <x:c r="D19" s="29" t="n">
        <x:f>C19*$C$12</x:f>
        <x:v>612.9909346550418</x:v>
      </x:c>
      <x:c r="F19" t="str">
        <x:v>Tijolo</x:v>
      </x:c>
      <x:c r="G19" s="44" t="n">
        <x:f>VLOOKUP($C$13&amp;"|"&amp;F19,Apoio!$A$2:$D$19,4,FALSE)</x:f>
        <x:v>0.2</x:v>
      </x:c>
      <x:c r="H19" s="29" t="n">
        <x:f>$C$10*G19</x:f>
        <x:v>200</x:v>
      </x:c>
    </x:row>
    <x:row r="20">
      <x:c r="B20" t="n">
        <x:v>10</x:v>
      </x:c>
      <x:c r="C20" s="29" t="n">
        <x:f>-FV($C$12,B20*12,$C$10,0,0)</x:f>
        <x:v>200217.46940991812</x:v>
      </x:c>
      <x:c r="D20" s="29" t="n">
        <x:f>C20*$C$12</x:f>
        <x:v>1601.739755279345</x:v>
      </x:c>
      <x:c r="F20" t="str">
        <x:v>Híbrido</x:v>
      </x:c>
      <x:c r="G20" s="44" t="n">
        <x:f>VLOOKUP($C$13&amp;"|"&amp;F20,Apoio!$A$2:$D$19,4,FALSE)</x:f>
        <x:v>0.15</x:v>
      </x:c>
      <x:c r="H20" s="29" t="n">
        <x:f>$C$10*G20</x:f>
        <x:v>150</x:v>
      </x:c>
    </x:row>
    <x:row r="21">
      <x:c r="B21" t="n">
        <x:v>20</x:v>
      </x:c>
      <x:c r="C21" s="29" t="n">
        <x:f>-FV($C$12,B21*12,$C$10,0,0)</x:f>
        <x:v>721131.2192751283</x:v>
      </x:c>
      <x:c r="D21" s="29" t="n">
        <x:f>C21*$C$12</x:f>
        <x:v>5769.049754201027</x:v>
      </x:c>
      <x:c r="F21" t="str">
        <x:v>Logística</x:v>
      </x:c>
      <x:c r="G21" s="44" t="n">
        <x:f>VLOOKUP($C$13&amp;"|"&amp;F21,Apoio!$A$2:$D$19,4,FALSE)</x:f>
        <x:v>0.2</x:v>
      </x:c>
      <x:c r="H21" s="29" t="n">
        <x:f>$C$10*G21</x:f>
        <x:v>200</x:v>
      </x:c>
    </x:row>
    <x:row r="22">
      <x:c r="B22" t="n">
        <x:v>30</x:v>
      </x:c>
      <x:c r="C22" s="29" t="n">
        <x:f>-FV($C$12,B22*12,$C$10,0,0)</x:f>
        <x:v>2076413.2313710856</x:v>
      </x:c>
      <x:c r="D22" s="29" t="n">
        <x:f>C22*$C$12</x:f>
        <x:v>16611.305850968685</x:v>
      </x:c>
      <x:c r="F22" t="str">
        <x:v>Shoppings</x:v>
      </x:c>
      <x:c r="G22" s="44" t="n">
        <x:f>VLOOKUP($C$13&amp;"|"&amp;F22,Apoio!$A$2:$D$19,4,FALSE)</x:f>
        <x:v>0.15</x:v>
      </x:c>
      <x:c r="H22" s="29" t="n">
        <x:f>$C$10*G22</x:f>
        <x:v>150</x:v>
      </x:c>
    </x:row>
    <x:row r="23">
      <x:c r="F23" t="str">
        <x:v>FOFs</x:v>
      </x:c>
      <x:c r="G23" s="44" t="n">
        <x:f>VLOOKUP($C$13&amp;"|"&amp;F23,Apoio!$A$2:$D$19,4,FALSE)</x:f>
        <x:v>0.1</x:v>
      </x:c>
      <x:c r="H23" s="29" t="n">
        <x:f>$C$10*G23</x:f>
        <x:v>100</x:v>
      </x:c>
    </x:row>
    <x:row r="24">
      <x:c r="F24" s="51" t="str">
        <x:v>Total</x:v>
      </x:c>
      <x:c r="G24" s="52" t="n">
        <x:f>SUM(G18:G23)</x:f>
        <x:v>1</x:v>
      </x:c>
      <x:c r="H24" s="53" t="n">
        <x:f>SUM(H18:H23)</x:f>
        <x:v>1000</x:v>
      </x:c>
    </x:row>
    <x:row r="27">
      <x:c r="B27" s="62" t="str">
        <x:v>Observação: planilha educacional. Salário, taxa e percentuais são fictícios e não constituem recomendação de investimento. Altere as células azuis para testar cenários.</x:v>
      </x:c>
      <x:c r="C27" s="62"/>
      <x:c r="D27" s="62"/>
      <x:c r="E27" s="62"/>
      <x:c r="F27" s="62"/>
      <x:c r="G27" s="62"/>
      <x:c r="H27" s="62"/>
    </x:row>
    <x:row r="28">
      <x:c r="B28" s="62"/>
      <x:c r="C28" s="62"/>
      <x:c r="D28" s="62"/>
      <x:c r="E28" s="62"/>
      <x:c r="F28" s="62"/>
      <x:c r="G28" s="62"/>
      <x:c r="H28" s="62"/>
    </x:row>
    <x:row r="29">
      <x:c r="B29" s="62"/>
      <x:c r="C29" s="62"/>
      <x:c r="D29" s="62"/>
      <x:c r="E29" s="62"/>
      <x:c r="F29" s="62"/>
      <x:c r="G29" s="62"/>
      <x:c r="H29" s="62"/>
    </x:row>
  </x:sheetData>
  <x:mergeCells>
    <x:mergeCell ref="B2:H3"/>
    <x:mergeCell ref="B5:H5"/>
    <x:mergeCell ref="B7:D7"/>
    <x:mergeCell ref="F7:H7"/>
    <x:mergeCell ref="B16:D16"/>
    <x:mergeCell ref="F16:H16"/>
    <x:mergeCell ref="B27:H29"/>
  </x:mergeCells>
  <x:conditionalFormatting sqref="G24:G24">
    <x:cfRule type="expression" dxfId="0" priority="1">
      <x:formula>G24&lt;&gt;100%</x:formula>
    </x:cfRule>
  </x:conditionalFormatting>
  <x:dataValidations count="1">
    <x:dataValidation type="list" sqref="C13">
      <x:formula1>Apoio!$I$2:$I$4</x:formula1>
    </x:dataValidation>
  </x:dataValidations>
  <x:pageMargins left="0.7" right="0.7" top="0.75" bottom="0.75" header="0.3" footer="0.3"/>
  <x:drawing xmlns:r="http://schemas.openxmlformats.org/officeDocument/2006/relationships" r:id="Rc508fab1897e4bf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6" max="6" width="16" hidden="0" customWidth="1"/>
    <x:col min="7" max="7" width="16" hidden="0" customWidth="1"/>
    <x:col min="9" max="9" width="16" hidden="0" customWidth="1"/>
  </x:cols>
  <x:sheetData>
    <x:row r="1">
      <x:c r="A1" s="4" t="str">
        <x:v>Chave</x:v>
      </x:c>
      <x:c r="B1" s="4" t="str">
        <x:v>Perfil</x:v>
      </x:c>
      <x:c r="C1" s="4" t="str">
        <x:v>Tipo de FII</x:v>
      </x:c>
      <x:c r="D1" s="4" t="str">
        <x:v>Percentual</x:v>
      </x:c>
      <x:c r="F1" s="4" t="str">
        <x:v>Perfil</x:v>
      </x:c>
      <x:c r="G1" s="4" t="str">
        <x:v>Total</x:v>
      </x:c>
      <x:c r="I1" t="str">
        <x:v>Perfis</x:v>
      </x:c>
    </x:row>
    <x:row r="2">
      <x:c r="A2" t="str">
        <x:v>Conservador|Papel</x:v>
      </x:c>
      <x:c r="B2" t="str">
        <x:v>Conservador</x:v>
      </x:c>
      <x:c r="C2" t="str">
        <x:v>Papel</x:v>
      </x:c>
      <x:c r="D2" s="8" t="n">
        <x:v>0.35</x:v>
      </x:c>
      <x:c r="F2" t="str">
        <x:v>Conservador</x:v>
      </x:c>
      <x:c r="G2" s="8" t="n">
        <x:f>SUMIF($B$2:$B$19,F2,$D$2:$D$19)</x:f>
        <x:v>1</x:v>
      </x:c>
      <x:c r="I2" t="str">
        <x:v>Conservador</x:v>
      </x:c>
    </x:row>
    <x:row r="3">
      <x:c r="A3" t="str">
        <x:v>Conservador|Tijolo</x:v>
      </x:c>
      <x:c r="B3" t="str">
        <x:v>Conservador</x:v>
      </x:c>
      <x:c r="C3" t="str">
        <x:v>Tijolo</x:v>
      </x:c>
      <x:c r="D3" s="8" t="n">
        <x:v>0.25</x:v>
      </x:c>
      <x:c r="F3" t="str">
        <x:v>Moderado</x:v>
      </x:c>
      <x:c r="G3" s="8" t="n">
        <x:f>SUMIF($B$2:$B$19,F3,$D$2:$D$19)</x:f>
        <x:v>1</x:v>
      </x:c>
      <x:c r="I3" t="str">
        <x:v>Moderado</x:v>
      </x:c>
    </x:row>
    <x:row r="4">
      <x:c r="A4" t="str">
        <x:v>Conservador|Híbrido</x:v>
      </x:c>
      <x:c r="B4" t="str">
        <x:v>Conservador</x:v>
      </x:c>
      <x:c r="C4" t="str">
        <x:v>Híbrido</x:v>
      </x:c>
      <x:c r="D4" s="8" t="n">
        <x:v>0.15</x:v>
      </x:c>
      <x:c r="F4" t="str">
        <x:v>Agressivo</x:v>
      </x:c>
      <x:c r="G4" s="8" t="n">
        <x:f>SUMIF($B$2:$B$19,F4,$D$2:$D$19)</x:f>
        <x:v>1</x:v>
      </x:c>
      <x:c r="I4" t="str">
        <x:v>Agressivo</x:v>
      </x:c>
    </x:row>
    <x:row r="5">
      <x:c r="A5" t="str">
        <x:v>Conservador|Logística</x:v>
      </x:c>
      <x:c r="B5" t="str">
        <x:v>Conservador</x:v>
      </x:c>
      <x:c r="C5" t="str">
        <x:v>Logística</x:v>
      </x:c>
      <x:c r="D5" s="8" t="n">
        <x:v>0.1</x:v>
      </x:c>
    </x:row>
    <x:row r="6">
      <x:c r="A6" t="str">
        <x:v>Conservador|Shoppings</x:v>
      </x:c>
      <x:c r="B6" t="str">
        <x:v>Conservador</x:v>
      </x:c>
      <x:c r="C6" t="str">
        <x:v>Shoppings</x:v>
      </x:c>
      <x:c r="D6" s="8" t="n">
        <x:v>0.08</x:v>
      </x:c>
    </x:row>
    <x:row r="7">
      <x:c r="A7" t="str">
        <x:v>Conservador|FOFs</x:v>
      </x:c>
      <x:c r="B7" t="str">
        <x:v>Conservador</x:v>
      </x:c>
      <x:c r="C7" t="str">
        <x:v>FOFs</x:v>
      </x:c>
      <x:c r="D7" s="8" t="n">
        <x:v>0.07</x:v>
      </x:c>
    </x:row>
    <x:row r="8">
      <x:c r="A8" t="str">
        <x:v>Moderado|Papel</x:v>
      </x:c>
      <x:c r="B8" t="str">
        <x:v>Moderado</x:v>
      </x:c>
      <x:c r="C8" t="str">
        <x:v>Papel</x:v>
      </x:c>
      <x:c r="D8" s="8" t="n">
        <x:v>0.2</x:v>
      </x:c>
    </x:row>
    <x:row r="9">
      <x:c r="A9" t="str">
        <x:v>Moderado|Tijolo</x:v>
      </x:c>
      <x:c r="B9" t="str">
        <x:v>Moderado</x:v>
      </x:c>
      <x:c r="C9" t="str">
        <x:v>Tijolo</x:v>
      </x:c>
      <x:c r="D9" s="8" t="n">
        <x:v>0.2</x:v>
      </x:c>
    </x:row>
    <x:row r="10">
      <x:c r="A10" t="str">
        <x:v>Moderado|Híbrido</x:v>
      </x:c>
      <x:c r="B10" t="str">
        <x:v>Moderado</x:v>
      </x:c>
      <x:c r="C10" t="str">
        <x:v>Híbrido</x:v>
      </x:c>
      <x:c r="D10" s="8" t="n">
        <x:v>0.15</x:v>
      </x:c>
    </x:row>
    <x:row r="11">
      <x:c r="A11" t="str">
        <x:v>Moderado|Logística</x:v>
      </x:c>
      <x:c r="B11" t="str">
        <x:v>Moderado</x:v>
      </x:c>
      <x:c r="C11" t="str">
        <x:v>Logística</x:v>
      </x:c>
      <x:c r="D11" s="8" t="n">
        <x:v>0.2</x:v>
      </x:c>
    </x:row>
    <x:row r="12">
      <x:c r="A12" t="str">
        <x:v>Moderado|Shoppings</x:v>
      </x:c>
      <x:c r="B12" t="str">
        <x:v>Moderado</x:v>
      </x:c>
      <x:c r="C12" t="str">
        <x:v>Shoppings</x:v>
      </x:c>
      <x:c r="D12" s="8" t="n">
        <x:v>0.15</x:v>
      </x:c>
    </x:row>
    <x:row r="13">
      <x:c r="A13" t="str">
        <x:v>Moderado|FOFs</x:v>
      </x:c>
      <x:c r="B13" t="str">
        <x:v>Moderado</x:v>
      </x:c>
      <x:c r="C13" t="str">
        <x:v>FOFs</x:v>
      </x:c>
      <x:c r="D13" s="8" t="n">
        <x:v>0.1</x:v>
      </x:c>
    </x:row>
    <x:row r="14">
      <x:c r="A14" t="str">
        <x:v>Agressivo|Papel</x:v>
      </x:c>
      <x:c r="B14" t="str">
        <x:v>Agressivo</x:v>
      </x:c>
      <x:c r="C14" t="str">
        <x:v>Papel</x:v>
      </x:c>
      <x:c r="D14" s="8" t="n">
        <x:v>0.1</x:v>
      </x:c>
    </x:row>
    <x:row r="15">
      <x:c r="A15" t="str">
        <x:v>Agressivo|Tijolo</x:v>
      </x:c>
      <x:c r="B15" t="str">
        <x:v>Agressivo</x:v>
      </x:c>
      <x:c r="C15" t="str">
        <x:v>Tijolo</x:v>
      </x:c>
      <x:c r="D15" s="8" t="n">
        <x:v>0.2</x:v>
      </x:c>
    </x:row>
    <x:row r="16">
      <x:c r="A16" t="str">
        <x:v>Agressivo|Híbrido</x:v>
      </x:c>
      <x:c r="B16" t="str">
        <x:v>Agressivo</x:v>
      </x:c>
      <x:c r="C16" t="str">
        <x:v>Híbrido</x:v>
      </x:c>
      <x:c r="D16" s="8" t="n">
        <x:v>0.1</x:v>
      </x:c>
    </x:row>
    <x:row r="17">
      <x:c r="A17" t="str">
        <x:v>Agressivo|Logística</x:v>
      </x:c>
      <x:c r="B17" t="str">
        <x:v>Agressivo</x:v>
      </x:c>
      <x:c r="C17" t="str">
        <x:v>Logística</x:v>
      </x:c>
      <x:c r="D17" s="8" t="n">
        <x:v>0.25</x:v>
      </x:c>
    </x:row>
    <x:row r="18">
      <x:c r="A18" t="str">
        <x:v>Agressivo|Shoppings</x:v>
      </x:c>
      <x:c r="B18" t="str">
        <x:v>Agressivo</x:v>
      </x:c>
      <x:c r="C18" t="str">
        <x:v>Shoppings</x:v>
      </x:c>
      <x:c r="D18" s="8" t="n">
        <x:v>0.25</x:v>
      </x:c>
    </x:row>
    <x:row r="19">
      <x:c r="A19" t="str">
        <x:v>Agressivo|FOFs</x:v>
      </x:c>
      <x:c r="B19" t="str">
        <x:v>Agressivo</x:v>
      </x:c>
      <x:c r="C19" t="str">
        <x:v>FOFs</x:v>
      </x:c>
      <x:c r="D19" s="8" t="n">
        <x:v>0.1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74" t="str">
        <x:v>PROJETO — SIMULADOR DE INVESTIMENTOS EM FIIs</x:v>
      </x:c>
      <x:c r="B1" s="74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4">
      <x:c r="A4" s="3" t="str">
        <x:v>Item</x:v>
      </x:c>
      <x:c r="B4" s="3" t="str">
        <x:v>Descrição</x:v>
      </x:c>
    </x:row>
    <x:row r="5" ht="44" customHeight="1">
      <x:c r="A5" s="72" t="str">
        <x:v>Perguntas respondidas</x:v>
      </x:c>
      <x:c r="B5" t="str">
        <x:v>Aporte mensal, prazo, taxa mensal, patrimônio acumulado e dividendos mensais.</x:v>
      </x:c>
    </x:row>
    <x:row r="6" ht="44" customHeight="1">
      <x:c r="A6" s="72" t="str">
        <x:v>VF / FV</x:v>
      </x:c>
      <x:c r="B6" t="str">
        <x:v>Usada na aba Simulador para calcular o valor futuro dos aportes mensais.</x:v>
      </x:c>
    </x:row>
    <x:row r="7" ht="44" customHeight="1">
      <x:c r="A7" s="72" t="str">
        <x:v>PROCV / VLOOKUP</x:v>
      </x:c>
      <x:c r="B7" t="str">
        <x:v>Busca o percentual de cada FII usando a chave composta Perfil|Tipo na aba Apoio.</x:v>
      </x:c>
    </x:row>
    <x:row r="8" ht="44" customHeight="1">
      <x:c r="A8" s="72" t="str">
        <x:v>Nomes sugeridos no curso</x:v>
      </x:c>
      <x:c r="B8" t="str">
        <x:v>salario, aporte_sugerido, aporte, prazo_anos, taxa_mensal e perfil. A versão entregue usa referências absolutas para máxima compatibilidade.</x:v>
      </x:c>
    </x:row>
    <x:row r="9" ht="44" customHeight="1">
      <x:c r="A9" s="72" t="str">
        <x:v>Perfis</x:v>
      </x:c>
      <x:c r="B9" t="str">
        <x:v>Conservador, Moderado e Agressivo; percentuais fictícios, cada perfil totaliza 100%.</x:v>
      </x:c>
    </x:row>
    <x:row r="10" ht="44" customHeight="1">
      <x:c r="A10" s="72" t="str">
        <x:v>Evolução incluída</x:v>
      </x:c>
      <x:c r="B10" t="str">
        <x:v>Gráfico de pizza dinâmico e gráfico de crescimento do patrimônio.</x:v>
      </x:c>
    </x:row>
    <x:row r="11" ht="44" customHeight="1">
      <x:c r="A11" s="72" t="str">
        <x:v>Publicação no GitHub</x:v>
      </x:c>
      <x:c r="B11" t="str">
        <x:v>Use valores fictícios, faça prints em dois perfis e explique suas escolhas no README.md.</x:v>
      </x:c>
    </x:row>
  </x:sheetData>
  <x:mergeCells>
    <x:mergeCell ref="A1:F2"/>
  </x:mergeCells>
  <x:pageMargins left="0.7" right="0.7" top="0.75" bottom="0.75" header="0.3" footer="0.3"/>
</x:worksheet>
</file>